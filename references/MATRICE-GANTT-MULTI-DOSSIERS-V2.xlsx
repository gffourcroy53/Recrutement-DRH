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22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  <font>
      <b val="1"/>
      <color rgb="00C00000"/>
      <sz val="9"/>
    </font>
    <font>
      <b val="1"/>
      <color rgb="007030A0"/>
      <sz val="9"/>
    </font>
    <font>
      <sz val="9"/>
    </font>
    <font>
      <i val="1"/>
      <sz val="8"/>
    </font>
  </fonts>
  <fills count="23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  <fill>
      <patternFill patternType="solid">
        <fgColor rgb="00404040"/>
      </patternFill>
    </fill>
    <fill>
      <patternFill patternType="solid">
        <fgColor rgb="008FAADC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00B0F0"/>
      </patternFill>
    </fill>
    <fill>
      <patternFill patternType="solid"/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18" fillId="0" borderId="0" pivotButton="0" quotePrefix="0" xfId="0"/>
    <xf numFmtId="0" fontId="20" fillId="0" borderId="0" applyAlignment="1" pivotButton="0" quotePrefix="0" xfId="0">
      <alignment horizontal="center"/>
    </xf>
    <xf numFmtId="0" fontId="19" fillId="0" borderId="0" pivotButton="0" quotePrefix="0" xfId="0"/>
    <xf numFmtId="165" fontId="19" fillId="0" borderId="0" pivotButton="0" quotePrefix="0" xfId="0"/>
    <xf numFmtId="166" fontId="2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0" fontId="0" fillId="11" borderId="0" pivotButton="0" quotePrefix="0" xfId="0"/>
    <xf numFmtId="0" fontId="2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21" fillId="0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</cellXfs>
  <cellStyles count="1">
    <cellStyle name="Normal" xfId="0" builtinId="0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ont>
        <b val="1"/>
        <color rgb="00C00000"/>
        <sz val="10"/>
      </font>
    </dxf>
    <dxf>
      <font>
        <b val="1"/>
        <color rgb="007030A0"/>
        <sz val="10"/>
      </font>
    </dxf>
    <dxf>
      <fill>
        <patternFill patternType="solid">
          <bgColor rgb="FF8FAAD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548235"/>
        </patternFill>
      </fill>
    </dxf>
    <dxf>
      <fill>
        <patternFill patternType="solid">
          <bgColor rgb="FFBF9000"/>
        </patternFill>
      </fill>
    </dxf>
    <dxf>
      <fill>
        <patternFill patternType="solid">
          <bgColor rgb="FFC55A11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/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7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hidden="1"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  <c r="B2" s="30" t="inlineStr">
        <is>
          <t>Origine calendrier (auto) :</t>
        </is>
      </c>
      <c r="C2" s="30">
        <f>IFERROR(MIN(INDEX(Dossiers!$D$4:$D$63,$C$1),INDEX(Dossiers!$F$4:$F$63,$C$1),INDEX(Dossiers!$G$4:$G$63,$C$1))-3,INDEX(Dossiers!$D$4:$D$63,$C$1))</f>
        <v/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$C$2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O5" s="30">
        <f>IFERROR(IF(ISNUMBER($A5),1,VALUE(LEFT($A5&amp;"0",FIND(".",$A5&amp;".0")-1))),"")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O6" s="30">
        <f>IFERROR(IF(ISNUMBER($A6),1,VALUE(LEFT($A6&amp;"0",FIND(".",$A6&amp;".0")-1))),"")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O7" s="30">
        <f>IFERROR(IF(ISNUMBER($A7),1,VALUE(LEFT($A7&amp;"0",FIND(".",$A7&amp;".0")-1))),"")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O8" s="30">
        <f>IFERROR(IF(ISNUMBER($A8),1,VALUE(LEFT($A8&amp;"0",FIND(".",$A8&amp;".0")-1))),"")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O9" s="30">
        <f>IFERROR(IF(ISNUMBER($A9),1,VALUE(LEFT($A9&amp;"0",FIND(".",$A9&amp;".0")-1))),"")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O10" s="30">
        <f>IFERROR(IF(ISNUMBER($A10),1,VALUE(LEFT($A10&amp;"0",FIND(".",$A10&amp;".0")-1))),"")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O11" s="30">
        <f>IFERROR(IF(ISNUMBER($A11),1,VALUE(LEFT($A11&amp;"0",FIND(".",$A11&amp;".0")-1))),"")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O12" s="30">
        <f>IFERROR(IF(ISNUMBER($A12),1,VALUE(LEFT($A12&amp;"0",FIND(".",$A12&amp;".0")-1))),"")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O13" s="30">
        <f>IFERROR(IF(ISNUMBER($A13),1,VALUE(LEFT($A13&amp;"0",FIND(".",$A13&amp;".0")-1))),"")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O14" s="30">
        <f>IFERROR(IF(ISNUMBER($A14),1,VALUE(LEFT($A14&amp;"0",FIND(".",$A14&amp;".0")-1))),"")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O15" s="30">
        <f>IFERROR(IF(ISNUMBER($A15),1,VALUE(LEFT($A15&amp;"0",FIND(".",$A15&amp;".0")-1))),"")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O16" s="30">
        <f>IFERROR(IF(ISNUMBER($A16),1,VALUE(LEFT($A16&amp;"0",FIND(".",$A16&amp;".0")-1))),"")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O17" s="30">
        <f>IFERROR(IF(ISNUMBER($A17),1,VALUE(LEFT($A17&amp;"0",FIND(".",$A17&amp;".0")-1))),"")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O18" s="30">
        <f>IFERROR(IF(ISNUMBER($A18),1,VALUE(LEFT($A18&amp;"0",FIND(".",$A18&amp;".0")-1))),"")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O19" s="30">
        <f>IFERROR(IF(ISNUMBER($A19),1,VALUE(LEFT($A19&amp;"0",FIND(".",$A19&amp;".0")-1))),"")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O20" s="30">
        <f>IFERROR(IF(ISNUMBER($A20),1,VALUE(LEFT($A20&amp;"0",FIND(".",$A20&amp;".0")-1))),"")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O21" s="30">
        <f>IFERROR(IF(ISNUMBER($A21),1,VALUE(LEFT($A21&amp;"0",FIND(".",$A21&amp;".0")-1))),"")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O22" s="30">
        <f>IFERROR(IF(ISNUMBER($A22),1,VALUE(LEFT($A22&amp;"0",FIND(".",$A22&amp;".0")-1))),"")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O23" s="30">
        <f>IFERROR(IF(ISNUMBER($A23),1,VALUE(LEFT($A23&amp;"0",FIND(".",$A23&amp;".0")-1))),"")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O24" s="30">
        <f>IFERROR(IF(ISNUMBER($A24),1,VALUE(LEFT($A24&amp;"0",FIND(".",$A24&amp;".0")-1))),"")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O25" s="30">
        <f>IFERROR(IF(ISNUMBER($A25),1,VALUE(LEFT($A25&amp;"0",FIND(".",$A25&amp;".0")-1))),"")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O26" s="30">
        <f>IFERROR(IF(ISNUMBER($A26),1,VALUE(LEFT($A26&amp;"0",FIND(".",$A26&amp;".0")-1))),"")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O27" s="30">
        <f>IFERROR(IF(ISNUMBER($A27),1,VALUE(LEFT($A27&amp;"0",FIND(".",$A27&amp;".0")-1))),"")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O28" s="30">
        <f>IFERROR(IF(ISNUMBER($A28),1,VALUE(LEFT($A28&amp;"0",FIND(".",$A28&amp;".0")-1))),"")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O29" s="30">
        <f>IFERROR(IF(ISNUMBER($A29),1,VALUE(LEFT($A29&amp;"0",FIND(".",$A29&amp;".0")-1))),"")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O30" s="30">
        <f>IFERROR(IF(ISNUMBER($A30),1,VALUE(LEFT($A30&amp;"0",FIND(".",$A30&amp;".0")-1))),"")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O31" s="30">
        <f>IFERROR(IF(ISNUMBER($A31),1,VALUE(LEFT($A31&amp;"0",FIND(".",$A31&amp;".0")-1))),"")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O32" s="30">
        <f>IFERROR(IF(ISNUMBER($A32),1,VALUE(LEFT($A32&amp;"0",FIND(".",$A32&amp;".0")-1))),"")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O33" s="30">
        <f>IFERROR(IF(ISNUMBER($A33),1,VALUE(LEFT($A33&amp;"0",FIND(".",$A33&amp;".0")-1))),"")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O34" s="30">
        <f>IFERROR(IF(ISNUMBER($A34),1,VALUE(LEFT($A34&amp;"0",FIND(".",$A34&amp;".0")-1))),"")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O35" s="30">
        <f>IFERROR(IF(ISNUMBER($A35),1,VALUE(LEFT($A35&amp;"0",FIND(".",$A35&amp;".0")-1))),"")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O36" s="30">
        <f>IFERROR(IF(ISNUMBER($A36),1,VALUE(LEFT($A36&amp;"0",FIND(".",$A36&amp;".0")-1))),"")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O37" s="30">
        <f>IFERROR(IF(ISNUMBER($A37),1,VALUE(LEFT($A37&amp;"0",FIND(".",$A37&amp;".0")-1))),"")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O38" s="30">
        <f>IFERROR(IF(ISNUMBER($A38),1,VALUE(LEFT($A38&amp;"0",FIND(".",$A38&amp;".0")-1))),"")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O39" s="30">
        <f>IFERROR(IF(ISNUMBER($A39),1,VALUE(LEFT($A39&amp;"0",FIND(".",$A39&amp;".0")-1))),"")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O40" s="30">
        <f>IFERROR(IF(ISNUMBER($A40),1,VALUE(LEFT($A40&amp;"0",FIND(".",$A40&amp;".0")-1))),"")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O41" s="30">
        <f>IFERROR(IF(ISNUMBER($A41),1,VALUE(LEFT($A41&amp;"0",FIND(".",$A41&amp;".0")-1))),"")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O42" s="30">
        <f>IFERROR(IF(ISNUMBER($A42),1,VALUE(LEFT($A42&amp;"0",FIND(".",$A42&amp;".0")-1))),"")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O43" s="30">
        <f>IFERROR(IF(ISNUMBER($A43),1,VALUE(LEFT($A43&amp;"0",FIND(".",$A43&amp;".0")-1))),"")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O44" s="30">
        <f>IFERROR(IF(ISNUMBER($A44),1,VALUE(LEFT($A44&amp;"0",FIND(".",$A44&amp;".0")-1))),"")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O45" s="30">
        <f>IFERROR(IF(ISNUMBER($A45),1,VALUE(LEFT($A45&amp;"0",FIND(".",$A45&amp;".0")-1))),"")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O46" s="30">
        <f>IFERROR(IF(ISNUMBER($A46),1,VALUE(LEFT($A46&amp;"0",FIND(".",$A46&amp;".0")-1))),"")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O47" s="30">
        <f>IFERROR(IF(ISNUMBER($A47),1,VALUE(LEFT($A47&amp;"0",FIND(".",$A47&amp;".0")-1))),"")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O48" s="30">
        <f>IFERROR(IF(ISNUMBER($A48),1,VALUE(LEFT($A48&amp;"0",FIND(".",$A48&amp;".0")-1))),"")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O49" s="30">
        <f>IFERROR(IF(ISNUMBER($A49),1,VALUE(LEFT($A49&amp;"0",FIND(".",$A49&amp;".0")-1))),"")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O50" s="30">
        <f>IFERROR(IF(ISNUMBER($A50),1,VALUE(LEFT($A50&amp;"0",FIND(".",$A50&amp;".0")-1))),"")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O51" s="30">
        <f>IFERROR(IF(ISNUMBER($A51),1,VALUE(LEFT($A51&amp;"0",FIND(".",$A51&amp;".0")-1))),"")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O52" s="30">
        <f>IFERROR(IF(ISNUMBER($A52),1,VALUE(LEFT($A52&amp;"0",FIND(".",$A52&amp;".0")-1))),"")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O53" s="30">
        <f>IFERROR(IF(ISNUMBER($A53),1,VALUE(LEFT($A53&amp;"0",FIND(".",$A53&amp;".0")-1))),"")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O54" s="30">
        <f>IFERROR(IF(ISNUMBER($A54),1,VALUE(LEFT($A54&amp;"0",FIND(".",$A54&amp;".0")-1))),"")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O55" s="30">
        <f>IFERROR(IF(ISNUMBER($A55),1,VALUE(LEFT($A55&amp;"0",FIND(".",$A55&amp;".0")-1))),"")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O56" s="30">
        <f>IFERROR(IF(ISNUMBER($A56),1,VALUE(LEFT($A56&amp;"0",FIND(".",$A56&amp;".0")-1))),"")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O57" s="30">
        <f>IFERROR(IF(ISNUMBER($A57),1,VALUE(LEFT($A57&amp;"0",FIND(".",$A57&amp;".0")-1))),"")</f>
        <v/>
      </c>
      <c r="P57" s="30">
        <f>IFERROR(INDEX(Suivi!$G:$G,57+($C$1-1)*54),"")</f>
        <v/>
      </c>
    </row>
    <row r="58">
      <c r="C58" s="40" t="inlineStr">
        <is>
          <t>Jalon CS :</t>
        </is>
      </c>
      <c r="E58" s="41">
        <f>IFERROR(INDEX(Dossiers!$F$4:$F$63,$C$1),"")</f>
        <v/>
      </c>
      <c r="G58" s="46">
        <f>IF($E$58="","",IF(G$4=$E$58,"◆CS",""))</f>
        <v/>
      </c>
      <c r="H58" s="46">
        <f>IF($E$58="","",IF(H$4=$E$58,"◆CS",""))</f>
        <v/>
      </c>
      <c r="I58" s="46">
        <f>IF($E$58="","",IF(I$4=$E$58,"◆CS",""))</f>
        <v/>
      </c>
      <c r="J58" s="46">
        <f>IF($E$58="","",IF(J$4=$E$58,"◆CS",""))</f>
        <v/>
      </c>
      <c r="K58" s="46">
        <f>IF($E$58="","",IF(K$4=$E$58,"◆CS",""))</f>
        <v/>
      </c>
      <c r="L58" s="46">
        <f>IF($E$58="","",IF(L$4=$E$58,"◆CS",""))</f>
        <v/>
      </c>
      <c r="M58" s="46">
        <f>IF($E$58="","",IF(M$4=$E$58,"◆CS",""))</f>
        <v/>
      </c>
      <c r="N58" s="46">
        <f>IF($E$58="","",IF(N$4=$E$58,"◆CS",""))</f>
        <v/>
      </c>
      <c r="O58" s="46">
        <f>IF($E$58="","",IF(O$4=$E$58,"◆CS",""))</f>
        <v/>
      </c>
      <c r="P58" s="46">
        <f>IF($E$58="","",IF(P$4=$E$58,"◆CS",""))</f>
        <v/>
      </c>
      <c r="Q58" s="46">
        <f>IF($E$58="","",IF(Q$4=$E$58,"◆CS",""))</f>
        <v/>
      </c>
      <c r="R58" s="46">
        <f>IF($E$58="","",IF(R$4=$E$58,"◆CS",""))</f>
        <v/>
      </c>
      <c r="S58" s="46">
        <f>IF($E$58="","",IF(S$4=$E$58,"◆CS",""))</f>
        <v/>
      </c>
      <c r="T58" s="46">
        <f>IF($E$58="","",IF(T$4=$E$58,"◆CS",""))</f>
        <v/>
      </c>
      <c r="U58" s="46">
        <f>IF($E$58="","",IF(U$4=$E$58,"◆CS",""))</f>
        <v/>
      </c>
      <c r="V58" s="46">
        <f>IF($E$58="","",IF(V$4=$E$58,"◆CS",""))</f>
        <v/>
      </c>
      <c r="W58" s="46">
        <f>IF($E$58="","",IF(W$4=$E$58,"◆CS",""))</f>
        <v/>
      </c>
      <c r="X58" s="46">
        <f>IF($E$58="","",IF(X$4=$E$58,"◆CS",""))</f>
        <v/>
      </c>
      <c r="Y58" s="46">
        <f>IF($E$58="","",IF(Y$4=$E$58,"◆CS",""))</f>
        <v/>
      </c>
      <c r="Z58" s="46">
        <f>IF($E$58="","",IF(Z$4=$E$58,"◆CS",""))</f>
        <v/>
      </c>
      <c r="AA58" s="46">
        <f>IF($E$58="","",IF(AA$4=$E$58,"◆CS",""))</f>
        <v/>
      </c>
      <c r="AB58" s="46">
        <f>IF($E$58="","",IF(AB$4=$E$58,"◆CS",""))</f>
        <v/>
      </c>
      <c r="AC58" s="46">
        <f>IF($E$58="","",IF(AC$4=$E$58,"◆CS",""))</f>
        <v/>
      </c>
      <c r="AD58" s="46">
        <f>IF($E$58="","",IF(AD$4=$E$58,"◆CS",""))</f>
        <v/>
      </c>
      <c r="AE58" s="46">
        <f>IF($E$58="","",IF(AE$4=$E$58,"◆CS",""))</f>
        <v/>
      </c>
      <c r="AF58" s="46">
        <f>IF($E$58="","",IF(AF$4=$E$58,"◆CS",""))</f>
        <v/>
      </c>
      <c r="AG58" s="46">
        <f>IF($E$58="","",IF(AG$4=$E$58,"◆CS",""))</f>
        <v/>
      </c>
      <c r="AH58" s="46">
        <f>IF($E$58="","",IF(AH$4=$E$58,"◆CS",""))</f>
        <v/>
      </c>
      <c r="AI58" s="46">
        <f>IF($E$58="","",IF(AI$4=$E$58,"◆CS",""))</f>
        <v/>
      </c>
      <c r="AJ58" s="46">
        <f>IF($E$58="","",IF(AJ$4=$E$58,"◆CS",""))</f>
        <v/>
      </c>
      <c r="AK58" s="46">
        <f>IF($E$58="","",IF(AK$4=$E$58,"◆CS",""))</f>
        <v/>
      </c>
      <c r="AL58" s="46">
        <f>IF($E$58="","",IF(AL$4=$E$58,"◆CS",""))</f>
        <v/>
      </c>
      <c r="AM58" s="46">
        <f>IF($E$58="","",IF(AM$4=$E$58,"◆CS",""))</f>
        <v/>
      </c>
      <c r="AN58" s="46">
        <f>IF($E$58="","",IF(AN$4=$E$58,"◆CS",""))</f>
        <v/>
      </c>
      <c r="AO58" s="46">
        <f>IF($E$58="","",IF(AO$4=$E$58,"◆CS",""))</f>
        <v/>
      </c>
      <c r="AP58" s="46">
        <f>IF($E$58="","",IF(AP$4=$E$58,"◆CS",""))</f>
        <v/>
      </c>
      <c r="AQ58" s="46">
        <f>IF($E$58="","",IF(AQ$4=$E$58,"◆CS",""))</f>
        <v/>
      </c>
      <c r="AR58" s="46">
        <f>IF($E$58="","",IF(AR$4=$E$58,"◆CS",""))</f>
        <v/>
      </c>
      <c r="AS58" s="46">
        <f>IF($E$58="","",IF(AS$4=$E$58,"◆CS",""))</f>
        <v/>
      </c>
      <c r="AT58" s="46">
        <f>IF($E$58="","",IF(AT$4=$E$58,"◆CS",""))</f>
        <v/>
      </c>
      <c r="AU58" s="46">
        <f>IF($E$58="","",IF(AU$4=$E$58,"◆CS",""))</f>
        <v/>
      </c>
      <c r="AV58" s="46">
        <f>IF($E$58="","",IF(AV$4=$E$58,"◆CS",""))</f>
        <v/>
      </c>
      <c r="AW58" s="46">
        <f>IF($E$58="","",IF(AW$4=$E$58,"◆CS",""))</f>
        <v/>
      </c>
      <c r="AX58" s="46">
        <f>IF($E$58="","",IF(AX$4=$E$58,"◆CS",""))</f>
        <v/>
      </c>
      <c r="AY58" s="46">
        <f>IF($E$58="","",IF(AY$4=$E$58,"◆CS",""))</f>
        <v/>
      </c>
      <c r="AZ58" s="46">
        <f>IF($E$58="","",IF(AZ$4=$E$58,"◆CS",""))</f>
        <v/>
      </c>
      <c r="BA58" s="46">
        <f>IF($E$58="","",IF(BA$4=$E$58,"◆CS",""))</f>
        <v/>
      </c>
      <c r="BB58" s="46">
        <f>IF($E$58="","",IF(BB$4=$E$58,"◆CS",""))</f>
        <v/>
      </c>
      <c r="BC58" s="46">
        <f>IF($E$58="","",IF(BC$4=$E$58,"◆CS",""))</f>
        <v/>
      </c>
      <c r="BD58" s="46">
        <f>IF($E$58="","",IF(BD$4=$E$58,"◆CS",""))</f>
        <v/>
      </c>
      <c r="BE58" s="46">
        <f>IF($E$58="","",IF(BE$4=$E$58,"◆CS",""))</f>
        <v/>
      </c>
      <c r="BF58" s="46">
        <f>IF($E$58="","",IF(BF$4=$E$58,"◆CS",""))</f>
        <v/>
      </c>
      <c r="BG58" s="46">
        <f>IF($E$58="","",IF(BG$4=$E$58,"◆CS",""))</f>
        <v/>
      </c>
      <c r="BH58" s="46">
        <f>IF($E$58="","",IF(BH$4=$E$58,"◆CS",""))</f>
        <v/>
      </c>
      <c r="BI58" s="46">
        <f>IF($E$58="","",IF(BI$4=$E$58,"◆CS",""))</f>
        <v/>
      </c>
      <c r="BJ58" s="46">
        <f>IF($E$58="","",IF(BJ$4=$E$58,"◆CS",""))</f>
        <v/>
      </c>
      <c r="BK58" s="46">
        <f>IF($E$58="","",IF(BK$4=$E$58,"◆CS",""))</f>
        <v/>
      </c>
      <c r="BL58" s="46">
        <f>IF($E$58="","",IF(BL$4=$E$58,"◆CS",""))</f>
        <v/>
      </c>
      <c r="BM58" s="46">
        <f>IF($E$58="","",IF(BM$4=$E$58,"◆CS",""))</f>
        <v/>
      </c>
      <c r="BN58" s="46">
        <f>IF($E$58="","",IF(BN$4=$E$58,"◆CS",""))</f>
        <v/>
      </c>
      <c r="BO58" s="46">
        <f>IF($E$58="","",IF(BO$4=$E$58,"◆CS",""))</f>
        <v/>
      </c>
      <c r="BP58" s="46">
        <f>IF($E$58="","",IF(BP$4=$E$58,"◆CS",""))</f>
        <v/>
      </c>
      <c r="BQ58" s="46">
        <f>IF($E$58="","",IF(BQ$4=$E$58,"◆CS",""))</f>
        <v/>
      </c>
      <c r="BR58" s="46">
        <f>IF($E$58="","",IF(BR$4=$E$58,"◆CS",""))</f>
        <v/>
      </c>
      <c r="BS58" s="46">
        <f>IF($E$58="","",IF(BS$4=$E$58,"◆CS",""))</f>
        <v/>
      </c>
      <c r="BT58" s="46">
        <f>IF($E$58="","",IF(BT$4=$E$58,"◆CS",""))</f>
        <v/>
      </c>
      <c r="BU58" s="46">
        <f>IF($E$58="","",IF(BU$4=$E$58,"◆CS",""))</f>
        <v/>
      </c>
      <c r="BV58" s="46">
        <f>IF($E$58="","",IF(BV$4=$E$58,"◆CS",""))</f>
        <v/>
      </c>
      <c r="BW58" s="46">
        <f>IF($E$58="","",IF(BW$4=$E$58,"◆CS",""))</f>
        <v/>
      </c>
      <c r="BX58" s="46">
        <f>IF($E$58="","",IF(BX$4=$E$58,"◆CS",""))</f>
        <v/>
      </c>
      <c r="BY58" s="46">
        <f>IF($E$58="","",IF(BY$4=$E$58,"◆CS",""))</f>
        <v/>
      </c>
      <c r="BZ58" s="46">
        <f>IF($E$58="","",IF(BZ$4=$E$58,"◆CS",""))</f>
        <v/>
      </c>
      <c r="CA58" s="46">
        <f>IF($E$58="","",IF(CA$4=$E$58,"◆CS",""))</f>
        <v/>
      </c>
      <c r="CB58" s="46">
        <f>IF($E$58="","",IF(CB$4=$E$58,"◆CS",""))</f>
        <v/>
      </c>
      <c r="CC58" s="46">
        <f>IF($E$58="","",IF(CC$4=$E$58,"◆CS",""))</f>
        <v/>
      </c>
      <c r="CD58" s="46">
        <f>IF($E$58="","",IF(CD$4=$E$58,"◆CS",""))</f>
        <v/>
      </c>
      <c r="CE58" s="46">
        <f>IF($E$58="","",IF(CE$4=$E$58,"◆CS",""))</f>
        <v/>
      </c>
      <c r="CF58" s="46">
        <f>IF($E$58="","",IF(CF$4=$E$58,"◆CS",""))</f>
        <v/>
      </c>
      <c r="CG58" s="46">
        <f>IF($E$58="","",IF(CG$4=$E$58,"◆CS",""))</f>
        <v/>
      </c>
      <c r="CH58" s="46">
        <f>IF($E$58="","",IF(CH$4=$E$58,"◆CS",""))</f>
        <v/>
      </c>
      <c r="CI58" s="46">
        <f>IF($E$58="","",IF(CI$4=$E$58,"◆CS",""))</f>
        <v/>
      </c>
      <c r="CJ58" s="46">
        <f>IF($E$58="","",IF(CJ$4=$E$58,"◆CS",""))</f>
        <v/>
      </c>
      <c r="CK58" s="46">
        <f>IF($E$58="","",IF(CK$4=$E$58,"◆CS",""))</f>
        <v/>
      </c>
      <c r="CL58" s="46">
        <f>IF($E$58="","",IF(CL$4=$E$58,"◆CS",""))</f>
        <v/>
      </c>
      <c r="CM58" s="46">
        <f>IF($E$58="","",IF(CM$4=$E$58,"◆CS",""))</f>
        <v/>
      </c>
      <c r="CN58" s="46">
        <f>IF($E$58="","",IF(CN$4=$E$58,"◆CS",""))</f>
        <v/>
      </c>
      <c r="CO58" s="46">
        <f>IF($E$58="","",IF(CO$4=$E$58,"◆CS",""))</f>
        <v/>
      </c>
      <c r="CP58" s="46">
        <f>IF($E$58="","",IF(CP$4=$E$58,"◆CS",""))</f>
        <v/>
      </c>
      <c r="CQ58" s="46">
        <f>IF($E$58="","",IF(CQ$4=$E$58,"◆CS",""))</f>
        <v/>
      </c>
      <c r="CR58" s="46">
        <f>IF($E$58="","",IF(CR$4=$E$58,"◆CS",""))</f>
        <v/>
      </c>
      <c r="CS58" s="46">
        <f>IF($E$58="","",IF(CS$4=$E$58,"◆CS",""))</f>
        <v/>
      </c>
      <c r="CT58" s="46">
        <f>IF($E$58="","",IF(CT$4=$E$58,"◆CS",""))</f>
        <v/>
      </c>
      <c r="CU58" s="46">
        <f>IF($E$58="","",IF(CU$4=$E$58,"◆CS",""))</f>
        <v/>
      </c>
      <c r="CV58" s="46">
        <f>IF($E$58="","",IF(CV$4=$E$58,"◆CS",""))</f>
        <v/>
      </c>
      <c r="CW58" s="46">
        <f>IF($E$58="","",IF(CW$4=$E$58,"◆CS",""))</f>
        <v/>
      </c>
      <c r="CX58" s="46">
        <f>IF($E$58="","",IF(CX$4=$E$58,"◆CS",""))</f>
        <v/>
      </c>
      <c r="CY58" s="46">
        <f>IF($E$58="","",IF(CY$4=$E$58,"◆CS",""))</f>
        <v/>
      </c>
      <c r="CZ58" s="46">
        <f>IF($E$58="","",IF(CZ$4=$E$58,"◆CS",""))</f>
        <v/>
      </c>
      <c r="DA58" s="46">
        <f>IF($E$58="","",IF(DA$4=$E$58,"◆CS",""))</f>
        <v/>
      </c>
      <c r="DB58" s="46">
        <f>IF($E$58="","",IF(DB$4=$E$58,"◆CS",""))</f>
        <v/>
      </c>
      <c r="DC58" s="46">
        <f>IF($E$58="","",IF(DC$4=$E$58,"◆CS",""))</f>
        <v/>
      </c>
      <c r="DD58" s="46">
        <f>IF($E$58="","",IF(DD$4=$E$58,"◆CS",""))</f>
        <v/>
      </c>
      <c r="DE58" s="46">
        <f>IF($E$58="","",IF(DE$4=$E$58,"◆CS",""))</f>
        <v/>
      </c>
      <c r="DF58" s="46">
        <f>IF($E$58="","",IF(DF$4=$E$58,"◆CS",""))</f>
        <v/>
      </c>
      <c r="DG58" s="46">
        <f>IF($E$58="","",IF(DG$4=$E$58,"◆CS",""))</f>
        <v/>
      </c>
      <c r="DH58" s="46">
        <f>IF($E$58="","",IF(DH$4=$E$58,"◆CS",""))</f>
        <v/>
      </c>
      <c r="DI58" s="46">
        <f>IF($E$58="","",IF(DI$4=$E$58,"◆CS",""))</f>
        <v/>
      </c>
      <c r="DJ58" s="46">
        <f>IF($E$58="","",IF(DJ$4=$E$58,"◆CS",""))</f>
        <v/>
      </c>
      <c r="DK58" s="46">
        <f>IF($E$58="","",IF(DK$4=$E$58,"◆CS",""))</f>
        <v/>
      </c>
      <c r="DL58" s="46">
        <f>IF($E$58="","",IF(DL$4=$E$58,"◆CS",""))</f>
        <v/>
      </c>
      <c r="DM58" s="46">
        <f>IF($E$58="","",IF(DM$4=$E$58,"◆CS",""))</f>
        <v/>
      </c>
      <c r="DN58" s="46">
        <f>IF($E$58="","",IF(DN$4=$E$58,"◆CS",""))</f>
        <v/>
      </c>
      <c r="DO58" s="46">
        <f>IF($E$58="","",IF(DO$4=$E$58,"◆CS",""))</f>
        <v/>
      </c>
      <c r="DP58" s="46">
        <f>IF($E$58="","",IF(DP$4=$E$58,"◆CS",""))</f>
        <v/>
      </c>
      <c r="DQ58" s="46">
        <f>IF($E$58="","",IF(DQ$4=$E$58,"◆CS",""))</f>
        <v/>
      </c>
      <c r="DR58" s="46">
        <f>IF($E$58="","",IF(DR$4=$E$58,"◆CS",""))</f>
        <v/>
      </c>
      <c r="DS58" s="46">
        <f>IF($E$58="","",IF(DS$4=$E$58,"◆CS",""))</f>
        <v/>
      </c>
      <c r="DT58" s="46">
        <f>IF($E$58="","",IF(DT$4=$E$58,"◆CS",""))</f>
        <v/>
      </c>
      <c r="DU58" s="46">
        <f>IF($E$58="","",IF(DU$4=$E$58,"◆CS",""))</f>
        <v/>
      </c>
      <c r="DV58" s="46">
        <f>IF($E$58="","",IF(DV$4=$E$58,"◆CS",""))</f>
        <v/>
      </c>
      <c r="DW58" s="46">
        <f>IF($E$58="","",IF(DW$4=$E$58,"◆CS",""))</f>
        <v/>
      </c>
      <c r="DX58" s="46">
        <f>IF($E$58="","",IF(DX$4=$E$58,"◆CS",""))</f>
        <v/>
      </c>
      <c r="DY58" s="46">
        <f>IF($E$58="","",IF(DY$4=$E$58,"◆CS",""))</f>
        <v/>
      </c>
      <c r="DZ58" s="46">
        <f>IF($E$58="","",IF(DZ$4=$E$58,"◆CS",""))</f>
        <v/>
      </c>
      <c r="EA58" s="46">
        <f>IF($E$58="","",IF(EA$4=$E$58,"◆CS",""))</f>
        <v/>
      </c>
      <c r="EB58" s="46">
        <f>IF($E$58="","",IF(EB$4=$E$58,"◆CS",""))</f>
        <v/>
      </c>
      <c r="EC58" s="46">
        <f>IF($E$58="","",IF(EC$4=$E$58,"◆CS",""))</f>
        <v/>
      </c>
      <c r="ED58" s="46">
        <f>IF($E$58="","",IF(ED$4=$E$58,"◆CS",""))</f>
        <v/>
      </c>
      <c r="EE58" s="46">
        <f>IF($E$58="","",IF(EE$4=$E$58,"◆CS",""))</f>
        <v/>
      </c>
      <c r="EF58" s="46">
        <f>IF($E$58="","",IF(EF$4=$E$58,"◆CS",""))</f>
        <v/>
      </c>
      <c r="EG58" s="46">
        <f>IF($E$58="","",IF(EG$4=$E$58,"◆CS",""))</f>
        <v/>
      </c>
      <c r="EH58" s="46">
        <f>IF($E$58="","",IF(EH$4=$E$58,"◆CS",""))</f>
        <v/>
      </c>
      <c r="EI58" s="46">
        <f>IF($E$58="","",IF(EI$4=$E$58,"◆CS",""))</f>
        <v/>
      </c>
      <c r="EJ58" s="46">
        <f>IF($E$58="","",IF(EJ$4=$E$58,"◆CS",""))</f>
        <v/>
      </c>
      <c r="EK58" s="46">
        <f>IF($E$58="","",IF(EK$4=$E$58,"◆CS",""))</f>
        <v/>
      </c>
      <c r="EL58" s="46">
        <f>IF($E$58="","",IF(EL$4=$E$58,"◆CS",""))</f>
        <v/>
      </c>
      <c r="EM58" s="46">
        <f>IF($E$58="","",IF(EM$4=$E$58,"◆CS",""))</f>
        <v/>
      </c>
      <c r="EN58" s="46">
        <f>IF($E$58="","",IF(EN$4=$E$58,"◆CS",""))</f>
        <v/>
      </c>
      <c r="EO58" s="46">
        <f>IF($E$58="","",IF(EO$4=$E$58,"◆CS",""))</f>
        <v/>
      </c>
      <c r="EP58" s="46">
        <f>IF($E$58="","",IF(EP$4=$E$58,"◆CS",""))</f>
        <v/>
      </c>
    </row>
    <row r="59">
      <c r="C59" s="43" t="inlineStr">
        <is>
          <t>Jalon Jury :</t>
        </is>
      </c>
      <c r="E59" s="44">
        <f>IFERROR(INDEX(Dossiers!$G$4:$G$63,$C$1),"")</f>
        <v/>
      </c>
      <c r="G59" s="47">
        <f>IF($E$59="","",IF(G$4=$E$59,"◆JURY",""))</f>
        <v/>
      </c>
      <c r="H59" s="46">
        <f>IF($E$59="","",IF(H$4=$E$59,"◆JURY",""))</f>
        <v/>
      </c>
      <c r="I59" s="46">
        <f>IF($E$59="","",IF(I$4=$E$59,"◆JURY",""))</f>
        <v/>
      </c>
      <c r="J59" s="46">
        <f>IF($E$59="","",IF(J$4=$E$59,"◆JURY",""))</f>
        <v/>
      </c>
      <c r="K59" s="46">
        <f>IF($E$59="","",IF(K$4=$E$59,"◆JURY",""))</f>
        <v/>
      </c>
      <c r="L59" s="46">
        <f>IF($E$59="","",IF(L$4=$E$59,"◆JURY",""))</f>
        <v/>
      </c>
      <c r="M59" s="46">
        <f>IF($E$59="","",IF(M$4=$E$59,"◆JURY",""))</f>
        <v/>
      </c>
      <c r="N59" s="46">
        <f>IF($E$59="","",IF(N$4=$E$59,"◆JURY",""))</f>
        <v/>
      </c>
      <c r="O59" s="46">
        <f>IF($E$59="","",IF(O$4=$E$59,"◆JURY",""))</f>
        <v/>
      </c>
      <c r="P59" s="46">
        <f>IF($E$59="","",IF(P$4=$E$59,"◆JURY",""))</f>
        <v/>
      </c>
      <c r="Q59" s="46">
        <f>IF($E$59="","",IF(Q$4=$E$59,"◆JURY",""))</f>
        <v/>
      </c>
      <c r="R59" s="46">
        <f>IF($E$59="","",IF(R$4=$E$59,"◆JURY",""))</f>
        <v/>
      </c>
      <c r="S59" s="46">
        <f>IF($E$59="","",IF(S$4=$E$59,"◆JURY",""))</f>
        <v/>
      </c>
      <c r="T59" s="46">
        <f>IF($E$59="","",IF(T$4=$E$59,"◆JURY",""))</f>
        <v/>
      </c>
      <c r="U59" s="46">
        <f>IF($E$59="","",IF(U$4=$E$59,"◆JURY",""))</f>
        <v/>
      </c>
      <c r="V59" s="46">
        <f>IF($E$59="","",IF(V$4=$E$59,"◆JURY",""))</f>
        <v/>
      </c>
      <c r="W59" s="46">
        <f>IF($E$59="","",IF(W$4=$E$59,"◆JURY",""))</f>
        <v/>
      </c>
      <c r="X59" s="46">
        <f>IF($E$59="","",IF(X$4=$E$59,"◆JURY",""))</f>
        <v/>
      </c>
      <c r="Y59" s="46">
        <f>IF($E$59="","",IF(Y$4=$E$59,"◆JURY",""))</f>
        <v/>
      </c>
      <c r="Z59" s="46">
        <f>IF($E$59="","",IF(Z$4=$E$59,"◆JURY",""))</f>
        <v/>
      </c>
      <c r="AA59" s="46">
        <f>IF($E$59="","",IF(AA$4=$E$59,"◆JURY",""))</f>
        <v/>
      </c>
      <c r="AB59" s="46">
        <f>IF($E$59="","",IF(AB$4=$E$59,"◆JURY",""))</f>
        <v/>
      </c>
      <c r="AC59" s="46">
        <f>IF($E$59="","",IF(AC$4=$E$59,"◆JURY",""))</f>
        <v/>
      </c>
      <c r="AD59" s="46">
        <f>IF($E$59="","",IF(AD$4=$E$59,"◆JURY",""))</f>
        <v/>
      </c>
      <c r="AE59" s="46">
        <f>IF($E$59="","",IF(AE$4=$E$59,"◆JURY",""))</f>
        <v/>
      </c>
      <c r="AF59" s="46">
        <f>IF($E$59="","",IF(AF$4=$E$59,"◆JURY",""))</f>
        <v/>
      </c>
      <c r="AG59" s="46">
        <f>IF($E$59="","",IF(AG$4=$E$59,"◆JURY",""))</f>
        <v/>
      </c>
      <c r="AH59" s="46">
        <f>IF($E$59="","",IF(AH$4=$E$59,"◆JURY",""))</f>
        <v/>
      </c>
      <c r="AI59" s="46">
        <f>IF($E$59="","",IF(AI$4=$E$59,"◆JURY",""))</f>
        <v/>
      </c>
      <c r="AJ59" s="46">
        <f>IF($E$59="","",IF(AJ$4=$E$59,"◆JURY",""))</f>
        <v/>
      </c>
      <c r="AK59" s="46">
        <f>IF($E$59="","",IF(AK$4=$E$59,"◆JURY",""))</f>
        <v/>
      </c>
      <c r="AL59" s="46">
        <f>IF($E$59="","",IF(AL$4=$E$59,"◆JURY",""))</f>
        <v/>
      </c>
      <c r="AM59" s="46">
        <f>IF($E$59="","",IF(AM$4=$E$59,"◆JURY",""))</f>
        <v/>
      </c>
      <c r="AN59" s="46">
        <f>IF($E$59="","",IF(AN$4=$E$59,"◆JURY",""))</f>
        <v/>
      </c>
      <c r="AO59" s="46">
        <f>IF($E$59="","",IF(AO$4=$E$59,"◆JURY",""))</f>
        <v/>
      </c>
      <c r="AP59" s="46">
        <f>IF($E$59="","",IF(AP$4=$E$59,"◆JURY",""))</f>
        <v/>
      </c>
      <c r="AQ59" s="46">
        <f>IF($E$59="","",IF(AQ$4=$E$59,"◆JURY",""))</f>
        <v/>
      </c>
      <c r="AR59" s="46">
        <f>IF($E$59="","",IF(AR$4=$E$59,"◆JURY",""))</f>
        <v/>
      </c>
      <c r="AS59" s="46">
        <f>IF($E$59="","",IF(AS$4=$E$59,"◆JURY",""))</f>
        <v/>
      </c>
      <c r="AT59" s="46">
        <f>IF($E$59="","",IF(AT$4=$E$59,"◆JURY",""))</f>
        <v/>
      </c>
      <c r="AU59" s="46">
        <f>IF($E$59="","",IF(AU$4=$E$59,"◆JURY",""))</f>
        <v/>
      </c>
      <c r="AV59" s="46">
        <f>IF($E$59="","",IF(AV$4=$E$59,"◆JURY",""))</f>
        <v/>
      </c>
      <c r="AW59" s="46">
        <f>IF($E$59="","",IF(AW$4=$E$59,"◆JURY",""))</f>
        <v/>
      </c>
      <c r="AX59" s="46">
        <f>IF($E$59="","",IF(AX$4=$E$59,"◆JURY",""))</f>
        <v/>
      </c>
      <c r="AY59" s="46">
        <f>IF($E$59="","",IF(AY$4=$E$59,"◆JURY",""))</f>
        <v/>
      </c>
      <c r="AZ59" s="46">
        <f>IF($E$59="","",IF(AZ$4=$E$59,"◆JURY",""))</f>
        <v/>
      </c>
      <c r="BA59" s="46">
        <f>IF($E$59="","",IF(BA$4=$E$59,"◆JURY",""))</f>
        <v/>
      </c>
      <c r="BB59" s="46">
        <f>IF($E$59="","",IF(BB$4=$E$59,"◆JURY",""))</f>
        <v/>
      </c>
      <c r="BC59" s="46">
        <f>IF($E$59="","",IF(BC$4=$E$59,"◆JURY",""))</f>
        <v/>
      </c>
      <c r="BD59" s="46">
        <f>IF($E$59="","",IF(BD$4=$E$59,"◆JURY",""))</f>
        <v/>
      </c>
      <c r="BE59" s="46">
        <f>IF($E$59="","",IF(BE$4=$E$59,"◆JURY",""))</f>
        <v/>
      </c>
      <c r="BF59" s="46">
        <f>IF($E$59="","",IF(BF$4=$E$59,"◆JURY",""))</f>
        <v/>
      </c>
      <c r="BG59" s="46">
        <f>IF($E$59="","",IF(BG$4=$E$59,"◆JURY",""))</f>
        <v/>
      </c>
      <c r="BH59" s="46">
        <f>IF($E$59="","",IF(BH$4=$E$59,"◆JURY",""))</f>
        <v/>
      </c>
      <c r="BI59" s="46">
        <f>IF($E$59="","",IF(BI$4=$E$59,"◆JURY",""))</f>
        <v/>
      </c>
      <c r="BJ59" s="46">
        <f>IF($E$59="","",IF(BJ$4=$E$59,"◆JURY",""))</f>
        <v/>
      </c>
      <c r="BK59" s="46">
        <f>IF($E$59="","",IF(BK$4=$E$59,"◆JURY",""))</f>
        <v/>
      </c>
      <c r="BL59" s="46">
        <f>IF($E$59="","",IF(BL$4=$E$59,"◆JURY",""))</f>
        <v/>
      </c>
      <c r="BM59" s="46">
        <f>IF($E$59="","",IF(BM$4=$E$59,"◆JURY",""))</f>
        <v/>
      </c>
      <c r="BN59" s="46">
        <f>IF($E$59="","",IF(BN$4=$E$59,"◆JURY",""))</f>
        <v/>
      </c>
      <c r="BO59" s="46">
        <f>IF($E$59="","",IF(BO$4=$E$59,"◆JURY",""))</f>
        <v/>
      </c>
      <c r="BP59" s="46">
        <f>IF($E$59="","",IF(BP$4=$E$59,"◆JURY",""))</f>
        <v/>
      </c>
      <c r="BQ59" s="46">
        <f>IF($E$59="","",IF(BQ$4=$E$59,"◆JURY",""))</f>
        <v/>
      </c>
      <c r="BR59" s="46">
        <f>IF($E$59="","",IF(BR$4=$E$59,"◆JURY",""))</f>
        <v/>
      </c>
      <c r="BS59" s="46">
        <f>IF($E$59="","",IF(BS$4=$E$59,"◆JURY",""))</f>
        <v/>
      </c>
      <c r="BT59" s="46">
        <f>IF($E$59="","",IF(BT$4=$E$59,"◆JURY",""))</f>
        <v/>
      </c>
      <c r="BU59" s="46">
        <f>IF($E$59="","",IF(BU$4=$E$59,"◆JURY",""))</f>
        <v/>
      </c>
      <c r="BV59" s="46">
        <f>IF($E$59="","",IF(BV$4=$E$59,"◆JURY",""))</f>
        <v/>
      </c>
      <c r="BW59" s="46">
        <f>IF($E$59="","",IF(BW$4=$E$59,"◆JURY",""))</f>
        <v/>
      </c>
      <c r="BX59" s="46">
        <f>IF($E$59="","",IF(BX$4=$E$59,"◆JURY",""))</f>
        <v/>
      </c>
      <c r="BY59" s="46">
        <f>IF($E$59="","",IF(BY$4=$E$59,"◆JURY",""))</f>
        <v/>
      </c>
      <c r="BZ59" s="46">
        <f>IF($E$59="","",IF(BZ$4=$E$59,"◆JURY",""))</f>
        <v/>
      </c>
      <c r="CA59" s="46">
        <f>IF($E$59="","",IF(CA$4=$E$59,"◆JURY",""))</f>
        <v/>
      </c>
      <c r="CB59" s="46">
        <f>IF($E$59="","",IF(CB$4=$E$59,"◆JURY",""))</f>
        <v/>
      </c>
      <c r="CC59" s="46">
        <f>IF($E$59="","",IF(CC$4=$E$59,"◆JURY",""))</f>
        <v/>
      </c>
      <c r="CD59" s="46">
        <f>IF($E$59="","",IF(CD$4=$E$59,"◆JURY",""))</f>
        <v/>
      </c>
      <c r="CE59" s="46">
        <f>IF($E$59="","",IF(CE$4=$E$59,"◆JURY",""))</f>
        <v/>
      </c>
      <c r="CF59" s="46">
        <f>IF($E$59="","",IF(CF$4=$E$59,"◆JURY",""))</f>
        <v/>
      </c>
      <c r="CG59" s="46">
        <f>IF($E$59="","",IF(CG$4=$E$59,"◆JURY",""))</f>
        <v/>
      </c>
      <c r="CH59" s="46">
        <f>IF($E$59="","",IF(CH$4=$E$59,"◆JURY",""))</f>
        <v/>
      </c>
      <c r="CI59" s="46">
        <f>IF($E$59="","",IF(CI$4=$E$59,"◆JURY",""))</f>
        <v/>
      </c>
      <c r="CJ59" s="46">
        <f>IF($E$59="","",IF(CJ$4=$E$59,"◆JURY",""))</f>
        <v/>
      </c>
      <c r="CK59" s="46">
        <f>IF($E$59="","",IF(CK$4=$E$59,"◆JURY",""))</f>
        <v/>
      </c>
      <c r="CL59" s="46">
        <f>IF($E$59="","",IF(CL$4=$E$59,"◆JURY",""))</f>
        <v/>
      </c>
      <c r="CM59" s="46">
        <f>IF($E$59="","",IF(CM$4=$E$59,"◆JURY",""))</f>
        <v/>
      </c>
      <c r="CN59" s="46">
        <f>IF($E$59="","",IF(CN$4=$E$59,"◆JURY",""))</f>
        <v/>
      </c>
      <c r="CO59" s="46">
        <f>IF($E$59="","",IF(CO$4=$E$59,"◆JURY",""))</f>
        <v/>
      </c>
      <c r="CP59" s="46">
        <f>IF($E$59="","",IF(CP$4=$E$59,"◆JURY",""))</f>
        <v/>
      </c>
      <c r="CQ59" s="46">
        <f>IF($E$59="","",IF(CQ$4=$E$59,"◆JURY",""))</f>
        <v/>
      </c>
      <c r="CR59" s="46">
        <f>IF($E$59="","",IF(CR$4=$E$59,"◆JURY",""))</f>
        <v/>
      </c>
      <c r="CS59" s="46">
        <f>IF($E$59="","",IF(CS$4=$E$59,"◆JURY",""))</f>
        <v/>
      </c>
      <c r="CT59" s="46">
        <f>IF($E$59="","",IF(CT$4=$E$59,"◆JURY",""))</f>
        <v/>
      </c>
      <c r="CU59" s="46">
        <f>IF($E$59="","",IF(CU$4=$E$59,"◆JURY",""))</f>
        <v/>
      </c>
      <c r="CV59" s="46">
        <f>IF($E$59="","",IF(CV$4=$E$59,"◆JURY",""))</f>
        <v/>
      </c>
      <c r="CW59" s="46">
        <f>IF($E$59="","",IF(CW$4=$E$59,"◆JURY",""))</f>
        <v/>
      </c>
      <c r="CX59" s="46">
        <f>IF($E$59="","",IF(CX$4=$E$59,"◆JURY",""))</f>
        <v/>
      </c>
      <c r="CY59" s="46">
        <f>IF($E$59="","",IF(CY$4=$E$59,"◆JURY",""))</f>
        <v/>
      </c>
      <c r="CZ59" s="46">
        <f>IF($E$59="","",IF(CZ$4=$E$59,"◆JURY",""))</f>
        <v/>
      </c>
      <c r="DA59" s="46">
        <f>IF($E$59="","",IF(DA$4=$E$59,"◆JURY",""))</f>
        <v/>
      </c>
      <c r="DB59" s="46">
        <f>IF($E$59="","",IF(DB$4=$E$59,"◆JURY",""))</f>
        <v/>
      </c>
      <c r="DC59" s="46">
        <f>IF($E$59="","",IF(DC$4=$E$59,"◆JURY",""))</f>
        <v/>
      </c>
      <c r="DD59" s="46">
        <f>IF($E$59="","",IF(DD$4=$E$59,"◆JURY",""))</f>
        <v/>
      </c>
      <c r="DE59" s="46">
        <f>IF($E$59="","",IF(DE$4=$E$59,"◆JURY",""))</f>
        <v/>
      </c>
      <c r="DF59" s="46">
        <f>IF($E$59="","",IF(DF$4=$E$59,"◆JURY",""))</f>
        <v/>
      </c>
      <c r="DG59" s="46">
        <f>IF($E$59="","",IF(DG$4=$E$59,"◆JURY",""))</f>
        <v/>
      </c>
      <c r="DH59" s="46">
        <f>IF($E$59="","",IF(DH$4=$E$59,"◆JURY",""))</f>
        <v/>
      </c>
      <c r="DI59" s="46">
        <f>IF($E$59="","",IF(DI$4=$E$59,"◆JURY",""))</f>
        <v/>
      </c>
      <c r="DJ59" s="46">
        <f>IF($E$59="","",IF(DJ$4=$E$59,"◆JURY",""))</f>
        <v/>
      </c>
      <c r="DK59" s="46">
        <f>IF($E$59="","",IF(DK$4=$E$59,"◆JURY",""))</f>
        <v/>
      </c>
      <c r="DL59" s="46">
        <f>IF($E$59="","",IF(DL$4=$E$59,"◆JURY",""))</f>
        <v/>
      </c>
      <c r="DM59" s="46">
        <f>IF($E$59="","",IF(DM$4=$E$59,"◆JURY",""))</f>
        <v/>
      </c>
      <c r="DN59" s="46">
        <f>IF($E$59="","",IF(DN$4=$E$59,"◆JURY",""))</f>
        <v/>
      </c>
      <c r="DO59" s="46">
        <f>IF($E$59="","",IF(DO$4=$E$59,"◆JURY",""))</f>
        <v/>
      </c>
      <c r="DP59" s="46">
        <f>IF($E$59="","",IF(DP$4=$E$59,"◆JURY",""))</f>
        <v/>
      </c>
      <c r="DQ59" s="46">
        <f>IF($E$59="","",IF(DQ$4=$E$59,"◆JURY",""))</f>
        <v/>
      </c>
      <c r="DR59" s="46">
        <f>IF($E$59="","",IF(DR$4=$E$59,"◆JURY",""))</f>
        <v/>
      </c>
      <c r="DS59" s="46">
        <f>IF($E$59="","",IF(DS$4=$E$59,"◆JURY",""))</f>
        <v/>
      </c>
      <c r="DT59" s="46">
        <f>IF($E$59="","",IF(DT$4=$E$59,"◆JURY",""))</f>
        <v/>
      </c>
      <c r="DU59" s="46">
        <f>IF($E$59="","",IF(DU$4=$E$59,"◆JURY",""))</f>
        <v/>
      </c>
      <c r="DV59" s="46">
        <f>IF($E$59="","",IF(DV$4=$E$59,"◆JURY",""))</f>
        <v/>
      </c>
      <c r="DW59" s="46">
        <f>IF($E$59="","",IF(DW$4=$E$59,"◆JURY",""))</f>
        <v/>
      </c>
      <c r="DX59" s="46">
        <f>IF($E$59="","",IF(DX$4=$E$59,"◆JURY",""))</f>
        <v/>
      </c>
      <c r="DY59" s="46">
        <f>IF($E$59="","",IF(DY$4=$E$59,"◆JURY",""))</f>
        <v/>
      </c>
      <c r="DZ59" s="46">
        <f>IF($E$59="","",IF(DZ$4=$E$59,"◆JURY",""))</f>
        <v/>
      </c>
      <c r="EA59" s="46">
        <f>IF($E$59="","",IF(EA$4=$E$59,"◆JURY",""))</f>
        <v/>
      </c>
      <c r="EB59" s="46">
        <f>IF($E$59="","",IF(EB$4=$E$59,"◆JURY",""))</f>
        <v/>
      </c>
      <c r="EC59" s="46">
        <f>IF($E$59="","",IF(EC$4=$E$59,"◆JURY",""))</f>
        <v/>
      </c>
      <c r="ED59" s="46">
        <f>IF($E$59="","",IF(ED$4=$E$59,"◆JURY",""))</f>
        <v/>
      </c>
      <c r="EE59" s="46">
        <f>IF($E$59="","",IF(EE$4=$E$59,"◆JURY",""))</f>
        <v/>
      </c>
      <c r="EF59" s="46">
        <f>IF($E$59="","",IF(EF$4=$E$59,"◆JURY",""))</f>
        <v/>
      </c>
      <c r="EG59" s="46">
        <f>IF($E$59="","",IF(EG$4=$E$59,"◆JURY",""))</f>
        <v/>
      </c>
      <c r="EH59" s="46">
        <f>IF($E$59="","",IF(EH$4=$E$59,"◆JURY",""))</f>
        <v/>
      </c>
      <c r="EI59" s="46">
        <f>IF($E$59="","",IF(EI$4=$E$59,"◆JURY",""))</f>
        <v/>
      </c>
      <c r="EJ59" s="46">
        <f>IF($E$59="","",IF(EJ$4=$E$59,"◆JURY",""))</f>
        <v/>
      </c>
      <c r="EK59" s="46">
        <f>IF($E$59="","",IF(EK$4=$E$59,"◆JURY",""))</f>
        <v/>
      </c>
      <c r="EL59" s="46">
        <f>IF($E$59="","",IF(EL$4=$E$59,"◆JURY",""))</f>
        <v/>
      </c>
      <c r="EM59" s="46">
        <f>IF($E$59="","",IF(EM$4=$E$59,"◆JURY",""))</f>
        <v/>
      </c>
      <c r="EN59" s="46">
        <f>IF($E$59="","",IF(EN$4=$E$59,"◆JURY",""))</f>
        <v/>
      </c>
      <c r="EO59" s="46">
        <f>IF($E$59="","",IF(EO$4=$E$59,"◆JURY",""))</f>
        <v/>
      </c>
      <c r="EP59" s="46">
        <f>IF($E$59="","",IF(EP$4=$E$59,"◆JURY",""))</f>
        <v/>
      </c>
    </row>
    <row r="61">
      <c r="C61" s="31" t="inlineStr">
        <is>
          <t>Légende :</t>
        </is>
      </c>
      <c r="G61" s="61" t="n"/>
      <c r="H61" s="49" t="inlineStr">
        <is>
          <t>Macro-étape (synthèse)</t>
        </is>
      </c>
    </row>
    <row r="62">
      <c r="G62" s="56" t="n"/>
      <c r="H62" s="49" t="inlineStr">
        <is>
          <t>1 · Demande de recrutement</t>
        </is>
      </c>
    </row>
    <row r="63">
      <c r="G63" s="57" t="n"/>
      <c r="H63" s="49" t="inlineStr">
        <is>
          <t>2 · Publicité</t>
        </is>
      </c>
    </row>
    <row r="64">
      <c r="G64" s="38" t="n"/>
      <c r="H64" s="49" t="inlineStr">
        <is>
          <t>3 · Choix candidats CS</t>
        </is>
      </c>
    </row>
    <row r="65">
      <c r="G65" s="58" t="n"/>
      <c r="H65" s="49" t="inlineStr">
        <is>
          <t>4 · Choix candidats Jury</t>
        </is>
      </c>
    </row>
    <row r="66">
      <c r="G66" s="59" t="n"/>
      <c r="H66" s="49" t="inlineStr">
        <is>
          <t>5 · Jury</t>
        </is>
      </c>
    </row>
    <row r="67">
      <c r="G67" s="37" t="n"/>
      <c r="H67" s="49" t="inlineStr">
        <is>
          <t>6 · Procédure</t>
        </is>
      </c>
    </row>
    <row r="68">
      <c r="C68" s="39" t="inlineStr">
        <is>
          <t>Gantt dynamique : changez le dossier en C1 ou modifiez Dossiers / Paramètres / Suivi.</t>
        </is>
      </c>
      <c r="G68" s="36" t="n"/>
      <c r="H68" s="49" t="inlineStr">
        <is>
          <t>Alerte retard</t>
        </is>
      </c>
    </row>
    <row r="69">
      <c r="G69" s="36" t="n"/>
      <c r="H69" s="49" t="inlineStr">
        <is>
          <t>◆ Date CS</t>
        </is>
      </c>
    </row>
    <row r="70">
      <c r="G70" s="37" t="n"/>
      <c r="H70" s="49" t="inlineStr">
        <is>
          <t>◆ Date Jury</t>
        </is>
      </c>
    </row>
    <row r="72">
      <c r="C72" s="55" t="inlineStr">
        <is>
          <t>Le calendrier démarre automatiquement avant le début du dossier pour inclure les jalons CS/Jury.</t>
        </is>
      </c>
    </row>
  </sheetData>
  <mergeCells count="1">
    <mergeCell ref="D1:N1"/>
  </mergeCells>
  <conditionalFormatting sqref="G5:EP57">
    <cfRule type="expression" priority="1" dxfId="60" stopIfTrue="1">
      <formula>AND($P5="Alerte retard",G$4&lt;=$F5,G$4&gt;=$E5)</formula>
    </cfRule>
    <cfRule type="expression" priority="2" dxfId="61" stopIfTrue="1">
      <formula>AND(ISNUMBER($E5),ISNUMBER($A5),G$4&gt;=$E5,G$4&lt;=$F5)</formula>
    </cfRule>
    <cfRule type="expression" priority="3" dxfId="62" stopIfTrue="1">
      <formula>AND(ISNUMBER($E5),$O5=1,G$4&gt;=$E5,G$4&lt;=$F5)</formula>
    </cfRule>
    <cfRule type="expression" priority="4" dxfId="63" stopIfTrue="1">
      <formula>AND(ISNUMBER($E5),$O5=2,G$4&gt;=$E5,G$4&lt;=$F5)</formula>
    </cfRule>
    <cfRule type="expression" priority="5" dxfId="64" stopIfTrue="1">
      <formula>AND(ISNUMBER($E5),$O5=3,G$4&gt;=$E5,G$4&lt;=$F5)</formula>
    </cfRule>
    <cfRule type="expression" priority="6" dxfId="65" stopIfTrue="1">
      <formula>AND(ISNUMBER($E5),$O5=4,G$4&gt;=$E5,G$4&lt;=$F5)</formula>
    </cfRule>
    <cfRule type="expression" priority="7" dxfId="66" stopIfTrue="1">
      <formula>AND(ISNUMBER($E5),$O5=5,G$4&gt;=$E5,G$4&lt;=$F5)</formula>
    </cfRule>
    <cfRule type="expression" priority="8" dxfId="67" stopIfTrue="1">
      <formula>AND(ISNUMBER($E5),$O5=6,G$4&gt;=$E5,G$4&lt;=$F5)</formula>
    </cfRule>
    <cfRule type="expression" priority="13" dxfId="60">
      <formula>AND(ISNUMBER($E$58),G$4=$E$58)</formula>
    </cfRule>
    <cfRule type="expression" priority="14" dxfId="67">
      <formula>AND(ISNUMBER($E$59),G$4=$E$59)</formula>
    </cfRule>
  </conditionalFormatting>
  <conditionalFormatting sqref="G3:EP59">
    <cfRule type="expression" priority="9" dxfId="68">
      <formula>OR(WEEKDAY(G$4,2)=6,WEEKDAY(G$4,2)=7)</formula>
    </cfRule>
  </conditionalFormatting>
  <conditionalFormatting sqref="A5:F57">
    <cfRule type="expression" priority="10" dxfId="22">
      <formula>ISNUMBER($A5)</formula>
    </cfRule>
  </conditionalFormatting>
  <conditionalFormatting sqref="G58:EP58">
    <cfRule type="expression" priority="11" dxfId="60">
      <formula>AND(ISNUMBER($E$58),G$4=$E$58)</formula>
    </cfRule>
  </conditionalFormatting>
  <conditionalFormatting sqref="G59:EP59">
    <cfRule type="expression" priority="12" dxfId="67">
      <formula>AND(ISNUMBER($E$59),G$4=$E$59)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2026-10-13T20:04:28Z</dcterms:modified>
  <cp:lastModifiedBy>Guy-Franck FOURCROY</cp:lastModifiedBy>
  <cp:revision>0</cp:revision>
  <cp:lastPrinted>2026-10-11T14:32:02Z</cp:lastPrinted>
</cp:coreProperties>
</file>